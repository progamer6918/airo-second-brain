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color rgb="FF8A8A8E"/>
      <sz val="9"/>
    </font>
    <font>
      <name val="Arial"/>
      <b val="1"/>
      <color rgb="FFFFAA40"/>
      <sz val="9"/>
    </font>
    <font>
      <name val="Arial"/>
      <b val="1"/>
      <color rgb="FFFF6B6B"/>
      <sz val="9"/>
    </font>
    <font>
      <name val="Arial"/>
      <color rgb="FFE8E8E8"/>
      <sz val="9"/>
    </font>
    <font>
      <name val="Arial"/>
      <i val="1"/>
      <color rgb="FF555558"/>
      <sz val="8"/>
    </font>
    <font>
      <name val="Arial"/>
      <b val="1"/>
      <color rgb="FF8A8A8E"/>
      <sz val="9"/>
    </font>
    <font>
      <name val="Arial"/>
      <b val="1"/>
      <color rgb="FFFF6B6B"/>
      <sz val="10"/>
    </font>
    <font>
      <name val="Arial"/>
      <color rgb="FFFF6B6B"/>
      <sz val="9"/>
    </font>
    <font>
      <name val="Arial"/>
      <b val="1"/>
      <color rgb="FFFFAA40"/>
      <sz val="10"/>
    </font>
    <font>
      <name val="Arial"/>
      <b val="1"/>
      <color rgb="FF555558"/>
      <sz val="8"/>
    </font>
    <font>
      <name val="Arial"/>
      <color rgb="FF555558"/>
      <sz val="8"/>
    </font>
    <font>
      <name val="Arial"/>
      <color rgb="FFFF6B6B"/>
      <sz val="8"/>
    </font>
    <font>
      <name val="Arial"/>
      <b val="1"/>
      <color rgb="FFE8E8E8"/>
      <sz val="15"/>
    </font>
    <font>
      <name val="Arial"/>
      <b val="1"/>
      <color rgb="FF5FD87A"/>
      <sz val="15"/>
    </font>
    <font>
      <name val="Arial"/>
      <b val="1"/>
      <color rgb="FFFF6B6B"/>
      <sz val="15"/>
    </font>
    <font>
      <name val="Arial"/>
      <b val="1"/>
      <color rgb="FFE8E8E8"/>
      <sz val="13"/>
    </font>
    <font>
      <name val="Arial"/>
      <b val="1"/>
      <color rgb="FF5AAFF0"/>
      <sz val="12"/>
    </font>
    <font>
      <name val="Arial"/>
      <b val="1"/>
      <color rgb="FFE8E8E8"/>
      <sz val="10"/>
    </font>
    <font>
      <name val="Arial"/>
      <color rgb="FFE8E8E8"/>
      <sz val="10"/>
    </font>
    <font>
      <name val="Courier New"/>
      <color rgb="FF3A7BD5"/>
      <sz val="12"/>
    </font>
    <font>
      <name val="Arial"/>
      <b val="1"/>
      <color rgb="FF5FD87A"/>
      <sz val="9"/>
    </font>
    <font>
      <name val="Courier New"/>
      <color rgb="FFFF8C00"/>
      <sz val="12"/>
    </font>
    <font>
      <name val="Courier New"/>
      <color rgb="FFFF6B6B"/>
      <sz val="12"/>
    </font>
    <font>
      <name val="Arial"/>
      <b val="1"/>
      <color rgb="FF5FD87A"/>
      <sz val="10"/>
    </font>
    <font>
      <name val="Arial"/>
      <b val="1"/>
      <color rgb="FF5AAFF0"/>
      <sz val="9"/>
    </font>
    <font>
      <name val="Arial"/>
      <color rgb="FFFFAA40"/>
      <sz val="9"/>
    </font>
    <font>
      <name val="Arial"/>
      <color rgb="FF5FD87A"/>
      <sz val="9"/>
    </font>
    <font>
      <name val="Arial"/>
      <color rgb="FFFF6B6B"/>
      <sz val="10"/>
    </font>
    <font>
      <name val="Arial"/>
      <color rgb="FFFFAA40"/>
      <sz val="10"/>
    </font>
    <font>
      <name val="Arial"/>
      <color rgb="FF5FD87A"/>
      <sz val="10"/>
    </font>
    <font>
      <name val="Arial"/>
      <color rgb="FF5AAFF0"/>
      <sz val="10"/>
    </font>
  </fonts>
  <fills count="10">
    <fill>
      <patternFill/>
    </fill>
    <fill>
      <patternFill patternType="gray125"/>
    </fill>
    <fill>
      <patternFill patternType="solid">
        <fgColor rgb="FF1C1C1E"/>
      </patternFill>
    </fill>
    <fill>
      <patternFill patternType="solid">
        <fgColor rgb="FF2A2A2E"/>
      </patternFill>
    </fill>
    <fill>
      <patternFill patternType="solid">
        <fgColor rgb="FF3D2D0F"/>
      </patternFill>
    </fill>
    <fill>
      <patternFill patternType="solid">
        <fgColor rgb="FF3D1515"/>
      </patternFill>
    </fill>
    <fill>
      <patternFill patternType="solid">
        <fgColor rgb="FF2D2D32"/>
      </patternFill>
    </fill>
    <fill>
      <patternFill patternType="solid">
        <fgColor rgb="FF232328"/>
      </patternFill>
    </fill>
    <fill>
      <patternFill patternType="solid">
        <fgColor rgb="FF1A3D25"/>
      </patternFill>
    </fill>
    <fill>
      <patternFill patternType="solid">
        <fgColor rgb="FF1A2D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/>
    </xf>
    <xf numFmtId="0" fontId="0" fillId="5" borderId="0" pivotButton="0" quotePrefix="0" xfId="0"/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0" fillId="4" borderId="0" pivotButton="0" quotePrefix="0" xfId="0"/>
    <xf numFmtId="0" fontId="9" fillId="4" borderId="0" applyAlignment="1" pivotButton="0" quotePrefix="0" xfId="0">
      <alignment horizontal="left" vertical="center"/>
    </xf>
    <xf numFmtId="0" fontId="0" fillId="6" borderId="0" pivotButton="0" quotePrefix="0" xfId="0"/>
    <xf numFmtId="0" fontId="10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 wrapText="1"/>
    </xf>
    <xf numFmtId="0" fontId="15" fillId="5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0" fillId="7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right" vertical="center"/>
    </xf>
    <xf numFmtId="0" fontId="20" fillId="2" borderId="0" applyAlignment="1" pivotButton="0" quotePrefix="0" xfId="0">
      <alignment horizontal="left" vertical="center"/>
    </xf>
    <xf numFmtId="0" fontId="21" fillId="8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/>
    </xf>
    <xf numFmtId="0" fontId="25" fillId="9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7" fillId="8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left" vertical="center" wrapText="1"/>
    </xf>
    <xf numFmtId="0" fontId="29" fillId="4" borderId="0" applyAlignment="1" pivotButton="0" quotePrefix="0" xfId="0">
      <alignment horizontal="left" vertical="center" wrapText="1"/>
    </xf>
    <xf numFmtId="0" fontId="30" fillId="8" borderId="0" applyAlignment="1" pivotButton="0" quotePrefix="0" xfId="0">
      <alignment horizontal="left" vertical="center" wrapText="1"/>
    </xf>
    <xf numFmtId="0" fontId="31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6" customWidth="1" min="2" max="2"/>
    <col width="13" customWidth="1" min="3" max="3"/>
    <col width="24" customWidth="1" min="4" max="4"/>
    <col width="13" customWidth="1" min="5" max="5"/>
    <col width="1.5" customWidth="1" min="6" max="6"/>
    <col width="18" customWidth="1" min="7" max="7"/>
    <col width="10" customWidth="1" min="8" max="8"/>
    <col width="12" customWidth="1" min="9" max="9"/>
    <col width="14" customWidth="1" min="10" max="10"/>
    <col width="1.5" customWidth="1" min="11" max="1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6" customHeight="1">
      <c r="A2" s="2" t="n"/>
      <c r="B2" s="3" t="inlineStr">
        <is>
          <t>● Synced: 21 Mei 2026, 14:32</t>
        </is>
      </c>
      <c r="C2" s="2" t="n"/>
      <c r="D2" s="4" t="inlineStr">
        <is>
          <t>⚠  Data: Warning</t>
        </is>
      </c>
      <c r="E2" s="5" t="inlineStr">
        <is>
          <t>🔔 5 alerts</t>
        </is>
      </c>
      <c r="F2" s="2" t="n"/>
      <c r="G2" s="6" t="inlineStr">
        <is>
          <t>📅 Mei 2026</t>
        </is>
      </c>
      <c r="H2" s="2" t="n"/>
      <c r="I2" s="7" t="inlineStr">
        <is>
          <t>Mode: Personal Finance</t>
        </is>
      </c>
      <c r="J2" s="2" t="n"/>
      <c r="K2" s="2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22" customHeight="1">
      <c r="A4" s="2" t="n"/>
      <c r="B4" s="8" t="inlineStr">
        <is>
          <t xml:space="preserve">  ⚡ ACTION REQUIRED  —  items membutuhkan tindakan segera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6" customHeight="1">
      <c r="A5" s="9" t="n"/>
      <c r="B5" s="10" t="inlineStr">
        <is>
          <t>●  CC jatuh tempo 5 hari, payment belum match</t>
        </is>
      </c>
      <c r="C5" s="11" t="inlineStr"/>
      <c r="D5" s="11" t="inlineStr"/>
      <c r="E5" s="5" t="inlineStr">
        <is>
          <t>→ BAYAR</t>
        </is>
      </c>
      <c r="F5" s="9" t="n"/>
      <c r="G5" s="10" t="inlineStr">
        <is>
          <t>●  Cash umum Rp 150rb — jauh di bawah target</t>
        </is>
      </c>
      <c r="H5" s="9" t="n"/>
      <c r="I5" s="9" t="n"/>
      <c r="J5" s="5" t="inlineStr">
        <is>
          <t>→ ISI</t>
        </is>
      </c>
      <c r="K5" s="9" t="n"/>
    </row>
    <row r="6" ht="26" customHeight="1">
      <c r="A6" s="12" t="n"/>
      <c r="B6" s="13" t="inlineStr">
        <is>
          <t>●  3 transaksi pending clarification</t>
        </is>
      </c>
      <c r="C6" s="12" t="n"/>
      <c r="D6" s="12" t="n"/>
      <c r="E6" s="4" t="inlineStr">
        <is>
          <t>→ REVIEW</t>
        </is>
      </c>
      <c r="F6" s="12" t="n"/>
      <c r="G6" s="13" t="inlineStr">
        <is>
          <t>●  2 entri missing category</t>
        </is>
      </c>
      <c r="H6" s="12" t="n"/>
      <c r="I6" s="12" t="n"/>
      <c r="J6" s="4" t="inlineStr">
        <is>
          <t>→ FIX</t>
        </is>
      </c>
      <c r="K6" s="12" t="n"/>
    </row>
    <row r="7" ht="8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22" customHeight="1">
      <c r="A8" s="2" t="n"/>
      <c r="B8" s="8" t="inlineStr">
        <is>
          <t xml:space="preserve">  🎯 EXECUTIVE COMMAND CENTER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 ht="20" customHeight="1">
      <c r="A9" s="14" t="n"/>
      <c r="B9" s="15" t="inlineStr">
        <is>
          <t>PRIMARY</t>
        </is>
      </c>
      <c r="C9" s="14" t="n"/>
      <c r="D9" s="16" t="inlineStr">
        <is>
          <t>Net worth</t>
        </is>
      </c>
      <c r="E9" s="16" t="inlineStr">
        <is>
          <t>Cash tersedia</t>
        </is>
      </c>
      <c r="F9" s="14" t="n"/>
      <c r="G9" s="16" t="inlineStr">
        <is>
          <t>Cashflow bln ini</t>
        </is>
      </c>
      <c r="H9" s="14" t="n"/>
      <c r="I9" s="14" t="n"/>
      <c r="J9" s="17" t="inlineStr">
        <is>
          <t>Critical alerts</t>
        </is>
      </c>
      <c r="K9" s="14" t="n"/>
    </row>
    <row r="10" ht="36" customHeight="1">
      <c r="A10" s="14" t="n"/>
      <c r="B10" s="14" t="n"/>
      <c r="C10" s="14" t="n"/>
      <c r="D10" s="18" t="inlineStr">
        <is>
          <t>Rp 245,8 jt
▲ +2,1% mtd</t>
        </is>
      </c>
      <c r="E10" s="18" t="inlineStr">
        <is>
          <t>Rp 8,2 jt
4 wallet aktif</t>
        </is>
      </c>
      <c r="F10" s="14" t="n"/>
      <c r="G10" s="19" t="inlineStr">
        <is>
          <t>+ Rp 2,3 jt
surplus</t>
        </is>
      </c>
      <c r="H10" s="14" t="n"/>
      <c r="I10" s="14" t="n"/>
      <c r="J10" s="20" t="inlineStr">
        <is>
          <t>2 item
butuh tindakan</t>
        </is>
      </c>
      <c r="K10" s="9" t="n"/>
    </row>
    <row r="11" ht="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20" customHeight="1">
      <c r="A12" s="21" t="n"/>
      <c r="B12" s="22" t="inlineStr">
        <is>
          <t>SECONDARY</t>
        </is>
      </c>
      <c r="C12" s="23" t="inlineStr">
        <is>
          <t>Total aset</t>
        </is>
      </c>
      <c r="D12" s="21" t="n"/>
      <c r="E12" s="23" t="inlineStr">
        <is>
          <t>Total hutang</t>
        </is>
      </c>
      <c r="F12" s="21" t="n"/>
      <c r="G12" s="23" t="inlineStr">
        <is>
          <t>Saving rate</t>
        </is>
      </c>
      <c r="H12" s="21" t="n"/>
      <c r="I12" s="23" t="inlineStr">
        <is>
          <t>Cicilan rumah</t>
        </is>
      </c>
      <c r="J12" s="21" t="n"/>
      <c r="K12" s="21" t="n"/>
    </row>
    <row r="13" ht="30" customHeight="1">
      <c r="A13" s="21" t="n"/>
      <c r="B13" s="21" t="n"/>
      <c r="C13" s="24" t="inlineStr">
        <is>
          <t>Rp 180 jt
▲ emas +1,4%</t>
        </is>
      </c>
      <c r="D13" s="21" t="n"/>
      <c r="E13" s="24" t="inlineStr">
        <is>
          <t>Rp 42 jt
termasuk cicilan</t>
        </is>
      </c>
      <c r="F13" s="21" t="n"/>
      <c r="G13" s="24" t="inlineStr">
        <is>
          <t>18,4%
▲ dari 14%</t>
        </is>
      </c>
      <c r="H13" s="21" t="n"/>
      <c r="I13" s="25" t="inlineStr">
        <is>
          <t>68%  ███████░░░</t>
        </is>
      </c>
      <c r="J13" s="21" t="n"/>
      <c r="K13" s="21" t="n"/>
    </row>
    <row r="14" ht="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22" customHeight="1">
      <c r="A15" s="2" t="n"/>
      <c r="B15" s="8" t="inlineStr">
        <is>
          <t xml:space="preserve">  💳 WALLET &amp; CASHFLOW                              🏦 DOMAIN HEALTH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20" customHeight="1">
      <c r="A16" s="2" t="n"/>
      <c r="B16" s="26" t="inlineStr">
        <is>
          <t>Akun</t>
        </is>
      </c>
      <c r="C16" s="27" t="inlineStr">
        <is>
          <t>Saldo</t>
        </is>
      </c>
      <c r="D16" s="28" t="inlineStr">
        <is>
          <t>Progress vs Target</t>
        </is>
      </c>
      <c r="E16" s="28" t="inlineStr">
        <is>
          <t>Status</t>
        </is>
      </c>
      <c r="F16" s="2" t="n"/>
      <c r="G16" s="26" t="inlineStr">
        <is>
          <t>Domain</t>
        </is>
      </c>
      <c r="H16" s="26" t="inlineStr">
        <is>
          <t>Info</t>
        </is>
      </c>
      <c r="I16" s="27" t="inlineStr">
        <is>
          <t>Nilai</t>
        </is>
      </c>
      <c r="J16" s="28" t="inlineStr">
        <is>
          <t>Status</t>
        </is>
      </c>
      <c r="K16" s="2" t="n"/>
    </row>
    <row r="17" ht="26" customHeight="1">
      <c r="A17" s="1" t="n"/>
      <c r="B17" s="29" t="inlineStr">
        <is>
          <t>BCA</t>
        </is>
      </c>
      <c r="C17" s="30" t="inlineStr">
        <is>
          <t>Rp 4,2 jt</t>
        </is>
      </c>
      <c r="D17" s="31">
        <f>REPT("█",9)&amp;REPT("░",1)</f>
        <v/>
      </c>
      <c r="E17" s="32" t="inlineStr">
        <is>
          <t>✓ aman</t>
        </is>
      </c>
      <c r="F17" s="1" t="n"/>
      <c r="G17" s="29" t="inlineStr">
        <is>
          <t>💳 Credit card</t>
        </is>
      </c>
      <c r="H17" s="33" t="inlineStr">
        <is>
          <t>1 kartu aktif</t>
        </is>
      </c>
      <c r="I17" s="30" t="inlineStr">
        <is>
          <t>Rp 1,2 jt</t>
        </is>
      </c>
      <c r="J17" s="5" t="inlineStr">
        <is>
          <t>⚠ critical 5hr</t>
        </is>
      </c>
      <c r="K17" s="1" t="n"/>
    </row>
    <row r="18" ht="26" customHeight="1">
      <c r="A18" s="1" t="n"/>
      <c r="B18" s="29" t="inlineStr">
        <is>
          <t>Blu</t>
        </is>
      </c>
      <c r="C18" s="30" t="inlineStr">
        <is>
          <t>Rp 2,1 jt</t>
        </is>
      </c>
      <c r="D18" s="31">
        <f>REPT("█",7)&amp;REPT("░",3)</f>
        <v/>
      </c>
      <c r="E18" s="32" t="inlineStr">
        <is>
          <t>✓ aman</t>
        </is>
      </c>
      <c r="F18" s="1" t="n"/>
      <c r="G18" s="29" t="inlineStr">
        <is>
          <t>📄 Hutang</t>
        </is>
      </c>
      <c r="H18" s="33" t="inlineStr">
        <is>
          <t>2 entri aktif</t>
        </is>
      </c>
      <c r="I18" s="30" t="inlineStr">
        <is>
          <t>Rp 8 jt</t>
        </is>
      </c>
      <c r="J18" s="4" t="inlineStr">
        <is>
          <t>monitor</t>
        </is>
      </c>
      <c r="K18" s="1" t="n"/>
    </row>
    <row r="19" ht="26" customHeight="1">
      <c r="A19" s="1" t="n"/>
      <c r="B19" s="29" t="inlineStr">
        <is>
          <t>Mandiri</t>
        </is>
      </c>
      <c r="C19" s="30" t="inlineStr">
        <is>
          <t>Rp 1,3 jt</t>
        </is>
      </c>
      <c r="D19" s="31">
        <f>REPT("█",7)&amp;REPT("░",3)</f>
        <v/>
      </c>
      <c r="E19" s="32" t="inlineStr">
        <is>
          <t>✓ aman</t>
        </is>
      </c>
      <c r="F19" s="1" t="n"/>
      <c r="G19" s="29" t="inlineStr">
        <is>
          <t>🪙 Aset / Emas</t>
        </is>
      </c>
      <c r="H19" s="33" t="inlineStr">
        <is>
          <t>update 19 Mei</t>
        </is>
      </c>
      <c r="I19" s="30" t="inlineStr">
        <is>
          <t>Rp 75 jt</t>
        </is>
      </c>
      <c r="J19" s="32" t="inlineStr">
        <is>
          <t>+1,4% mtd</t>
        </is>
      </c>
      <c r="K19" s="1" t="n"/>
    </row>
    <row r="20" ht="26" customHeight="1">
      <c r="A20" s="1" t="n"/>
      <c r="B20" s="29" t="inlineStr">
        <is>
          <t>Cash bensin</t>
        </is>
      </c>
      <c r="C20" s="30" t="inlineStr">
        <is>
          <t>Rp 480 rb</t>
        </is>
      </c>
      <c r="D20" s="34">
        <f>REPT("█",9)&amp;REPT("░",1)</f>
        <v/>
      </c>
      <c r="E20" s="4" t="inlineStr">
        <is>
          <t>⚠ hampir habis</t>
        </is>
      </c>
      <c r="F20" s="1" t="n"/>
      <c r="G20" s="29" t="inlineStr">
        <is>
          <t>🏠 Cicilan rumah</t>
        </is>
      </c>
      <c r="H20" s="33" t="inlineStr">
        <is>
          <t>angsuran Mei ✓</t>
        </is>
      </c>
      <c r="I20" s="30" t="inlineStr">
        <is>
          <t>Rp 1,5 jt</t>
        </is>
      </c>
      <c r="J20" s="35" t="inlineStr">
        <is>
          <t>on track</t>
        </is>
      </c>
      <c r="K20" s="1" t="n"/>
    </row>
    <row r="21" ht="26" customHeight="1">
      <c r="A21" s="1" t="n"/>
      <c r="B21" s="29" t="inlineStr">
        <is>
          <t>Cash umum</t>
        </is>
      </c>
      <c r="C21" s="30" t="inlineStr">
        <is>
          <t>Rp 150 rb</t>
        </is>
      </c>
      <c r="D21" s="36">
        <f>REPT("█",3)&amp;REPT("░",7)</f>
        <v/>
      </c>
      <c r="E21" s="5" t="inlineStr">
        <is>
          <t>↓ kritis rendah</t>
        </is>
      </c>
      <c r="F21" s="1" t="n"/>
      <c r="G21" s="1" t="n"/>
      <c r="H21" s="1" t="n"/>
      <c r="I21" s="1" t="n"/>
      <c r="J21" s="1" t="n"/>
      <c r="K21" s="1" t="n"/>
    </row>
    <row r="22" ht="22" customHeight="1">
      <c r="A22" s="2" t="n"/>
      <c r="B22" s="3" t="inlineStr">
        <is>
          <t>↑ Inflow</t>
        </is>
      </c>
      <c r="C22" s="37" t="inlineStr">
        <is>
          <t>+Rp 12,5 jt</t>
        </is>
      </c>
      <c r="D22" s="38" t="inlineStr">
        <is>
          <t>↓ Outflow</t>
        </is>
      </c>
      <c r="E22" s="39" t="inlineStr">
        <is>
          <t>−Rp 10,2 jt</t>
        </is>
      </c>
      <c r="F22" s="1" t="n"/>
      <c r="G22" s="40" t="inlineStr">
        <is>
          <t>Source: Credit Card, Hutang, Aset, Cicilan Rumah tabs</t>
        </is>
      </c>
      <c r="K22" s="1" t="n"/>
    </row>
    <row r="23" ht="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22" customHeight="1">
      <c r="A24" s="2" t="n"/>
      <c r="B24" s="8" t="inlineStr">
        <is>
          <t xml:space="preserve">  📊 SPENDING INTELLIGENCE                         🔍 DATA QUALITY CENTER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 ht="20" customHeight="1">
      <c r="A25" s="2" t="n"/>
      <c r="B25" s="26" t="inlineStr">
        <is>
          <t>Kategori</t>
        </is>
      </c>
      <c r="C25" s="28" t="inlineStr">
        <is>
          <t>%</t>
        </is>
      </c>
      <c r="D25" s="41" t="inlineStr">
        <is>
          <t>Bar  (source: Finance Events — clean only)</t>
        </is>
      </c>
      <c r="E25" s="28" t="inlineStr">
        <is>
          <t>vs Bln Lalu</t>
        </is>
      </c>
      <c r="F25" s="2" t="n"/>
      <c r="G25" s="26" t="inlineStr">
        <is>
          <t>Issue</t>
        </is>
      </c>
      <c r="H25" s="2" t="n"/>
      <c r="I25" s="41" t="inlineStr"/>
      <c r="J25" s="28" t="inlineStr">
        <is>
          <t>Count</t>
        </is>
      </c>
      <c r="K25" s="2" t="n"/>
    </row>
    <row r="26" ht="26" customHeight="1">
      <c r="A26" s="1" t="n"/>
      <c r="B26" s="42" t="inlineStr">
        <is>
          <t>Makanan</t>
        </is>
      </c>
      <c r="C26" s="43" t="inlineStr">
        <is>
          <t>34%</t>
        </is>
      </c>
      <c r="D26" s="34">
        <f>REPT("█",10)&amp;REPT("░",0)</f>
        <v/>
      </c>
      <c r="E26" s="44" t="inlineStr">
        <is>
          <t>▲ +32%</t>
        </is>
      </c>
      <c r="F26" s="1" t="n"/>
      <c r="G26" s="45" t="inlineStr">
        <is>
          <t>⊗ CC payment belum match</t>
        </is>
      </c>
      <c r="J26" s="5" t="inlineStr">
        <is>
          <t>1 item</t>
        </is>
      </c>
      <c r="K26" s="1" t="n"/>
    </row>
    <row r="27" ht="26" customHeight="1">
      <c r="A27" s="1" t="n"/>
      <c r="B27" s="42" t="inlineStr">
        <is>
          <t>Transport</t>
        </is>
      </c>
      <c r="C27" s="43" t="inlineStr">
        <is>
          <t>18%</t>
        </is>
      </c>
      <c r="D27" s="31">
        <f>REPT("█",5)&amp;REPT("░",5)</f>
        <v/>
      </c>
      <c r="E27" s="46">
        <f> stabil</f>
        <v/>
      </c>
      <c r="F27" s="1" t="n"/>
      <c r="G27" s="45" t="inlineStr">
        <is>
          <t>⊗ Finance Events tanpa domain ref</t>
        </is>
      </c>
      <c r="J27" s="5" t="inlineStr">
        <is>
          <t>1 item</t>
        </is>
      </c>
      <c r="K27" s="1" t="n"/>
    </row>
    <row r="28" ht="26" customHeight="1">
      <c r="A28" s="1" t="n"/>
      <c r="B28" s="42" t="inlineStr">
        <is>
          <t>CC payment</t>
        </is>
      </c>
      <c r="C28" s="43" t="inlineStr">
        <is>
          <t>16%</t>
        </is>
      </c>
      <c r="D28" s="31">
        <f>REPT("█",5)&amp;REPT("░",5)</f>
        <v/>
      </c>
      <c r="E28" s="47" t="inlineStr">
        <is>
          <t>▼ −5%</t>
        </is>
      </c>
      <c r="F28" s="1" t="n"/>
      <c r="G28" s="48" t="inlineStr">
        <is>
          <t>⏳ Pending clarification</t>
        </is>
      </c>
      <c r="J28" s="4" t="inlineStr">
        <is>
          <t>3 item</t>
        </is>
      </c>
      <c r="K28" s="1" t="n"/>
    </row>
    <row r="29" ht="26" customHeight="1">
      <c r="A29" s="1" t="n"/>
      <c r="B29" s="42" t="inlineStr">
        <is>
          <t>Utilities</t>
        </is>
      </c>
      <c r="C29" s="43" t="inlineStr">
        <is>
          <t>14%</t>
        </is>
      </c>
      <c r="D29" s="31">
        <f>REPT("█",4)&amp;REPT("░",6)</f>
        <v/>
      </c>
      <c r="E29" s="46">
        <f> stabil</f>
        <v/>
      </c>
      <c r="F29" s="1" t="n"/>
      <c r="G29" s="48" t="inlineStr">
        <is>
          <t>🏷  Missing category</t>
        </is>
      </c>
      <c r="J29" s="4" t="inlineStr">
        <is>
          <t>2 item</t>
        </is>
      </c>
      <c r="K29" s="1" t="n"/>
    </row>
    <row r="30" ht="26" customHeight="1">
      <c r="A30" s="1" t="n"/>
      <c r="B30" s="42" t="inlineStr">
        <is>
          <t>Bensin</t>
        </is>
      </c>
      <c r="C30" s="43" t="inlineStr">
        <is>
          <t>9%</t>
        </is>
      </c>
      <c r="D30" s="31">
        <f>REPT("█",3)&amp;REPT("░",7)</f>
        <v/>
      </c>
      <c r="E30" s="44" t="inlineStr">
        <is>
          <t>▲ +8%</t>
        </is>
      </c>
      <c r="F30" s="1" t="n"/>
      <c r="G30" s="49" t="inlineStr">
        <is>
          <t>✓  Rekonsiliasi terakhir: 20 Mei</t>
        </is>
      </c>
      <c r="J30" s="32" t="inlineStr">
        <is>
          <t>clean</t>
        </is>
      </c>
      <c r="K30" s="1" t="n"/>
    </row>
    <row r="31" ht="26" customHeight="1">
      <c r="A31" s="1" t="n"/>
      <c r="B31" s="42" t="inlineStr">
        <is>
          <t>Lainnya</t>
        </is>
      </c>
      <c r="C31" s="43" t="inlineStr">
        <is>
          <t>9%</t>
        </is>
      </c>
      <c r="D31" s="31">
        <f>REPT("█",3)&amp;REPT("░",7)</f>
        <v/>
      </c>
      <c r="E31" s="47" t="inlineStr">
        <is>
          <t>▼ −2%</t>
        </is>
      </c>
      <c r="F31" s="1" t="n"/>
      <c r="G31" s="3" t="inlineStr">
        <is>
          <t>⊙ Audit log (script changes)</t>
        </is>
      </c>
      <c r="J31" s="50" t="inlineStr">
        <is>
          <t>12 entry</t>
        </is>
      </c>
      <c r="K31" s="1" t="n"/>
    </row>
    <row r="32" ht="14" customHeight="1">
      <c r="A32" s="1" t="n"/>
      <c r="B32" s="40" t="inlineStr">
        <is>
          <t xml:space="preserve">  =SUMIF(FinanceEvents, category, bulan) — hanya data clean</t>
        </is>
      </c>
      <c r="F32" s="1" t="n"/>
      <c r="G32" s="40" t="inlineStr">
        <is>
          <t>Source: Review Queue + Finance Events + Audit Log</t>
        </is>
      </c>
      <c r="K32" s="1" t="n"/>
    </row>
    <row r="33" ht="8" customHeight="1">
      <c r="A33" s="2" t="n"/>
      <c r="B33" s="8" t="inlineStr">
        <is>
          <t xml:space="preserve">  💡 SMART INSIGHT PANEL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36" customHeight="1">
      <c r="A34" s="1" t="n"/>
      <c r="B34" s="51" t="inlineStr">
        <is>
          <t>CRITICAL
CC jatuh tempo 5 hari. Payment belum match — penyebab Data Status: Warning.</t>
        </is>
      </c>
      <c r="F34" s="1" t="n"/>
      <c r="G34" s="51" t="inlineStr">
        <is>
          <t>CRITICAL
Cash umum Rp 150rb, sangat rendah dari target Rp 500rb.</t>
        </is>
      </c>
      <c r="K34" s="1" t="n"/>
    </row>
    <row r="35" ht="36" customHeight="1">
      <c r="A35" s="1" t="n"/>
      <c r="B35" s="52" t="inlineStr">
        <is>
          <t>WARNING
Pengeluaran makanan naik 32% vs bulan lalu. Kategori terbesar bulan ini.</t>
        </is>
      </c>
      <c r="F35" s="1" t="n"/>
      <c r="G35" s="52" t="inlineStr">
        <is>
          <t>WARNING
Cash bensin 96% hampir habis sebelum akhir bulan.</t>
        </is>
      </c>
      <c r="K35" s="1" t="n"/>
    </row>
    <row r="36" ht="36" customHeight="1">
      <c r="A36" s="1" t="n"/>
      <c r="B36" s="53" t="inlineStr">
        <is>
          <t>POSITIVE
Saving rate naik dari 14% → 18,4%. Cashflow surplus Rp 2,3 jt bulan ini.</t>
        </is>
      </c>
      <c r="F36" s="1" t="n"/>
      <c r="G36" s="54" t="inlineStr">
        <is>
          <t>INFO
Aset emas naik 1,4% mtd. Cicilan on track, 68% terlunasi.</t>
        </is>
      </c>
      <c r="K36" s="1" t="n"/>
    </row>
    <row r="37" ht="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</sheetData>
  <mergeCells count="15">
    <mergeCell ref="G22:J22"/>
    <mergeCell ref="B36:E36"/>
    <mergeCell ref="G28:I28"/>
    <mergeCell ref="B35:E35"/>
    <mergeCell ref="G27:I27"/>
    <mergeCell ref="G35:J35"/>
    <mergeCell ref="G31:I31"/>
    <mergeCell ref="G34:J34"/>
    <mergeCell ref="G26:I26"/>
    <mergeCell ref="B34:E34"/>
    <mergeCell ref="G29:I29"/>
    <mergeCell ref="G30:I30"/>
    <mergeCell ref="G32:J32"/>
    <mergeCell ref="G36:J36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2026-05-31T10:24:09Z</dcterms:created>
  <dcterms:modified xmlns:dcterms="http://purl.org/dc/terms/" xmlns:xsi="http://www.w3.org/2001/XMLSchema-instance" xsi:type="dcterms:W3CDTF">2026-05-31T10:24:09Z</dcterms:modified>
</cp:coreProperties>
</file>